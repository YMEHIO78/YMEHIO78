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cker" sheetId="1" state="visible" r:id="rId3"/>
    <sheet name="Cert List" sheetId="2" state="visible" r:id="rId4"/>
    <sheet name="DO NOT DELETE" sheetId="3" state="visible" r:id="rId5"/>
    <sheet name="Notes" sheetId="4" state="visible" r:id="rId6"/>
  </sheets>
  <definedNames>
    <definedName function="false" hidden="true" localSheetId="0" name="_xlnm._FilterDatabase" vbProcedure="false">Tracker!$A$1:$I$26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<sst xmlns="http://schemas.openxmlformats.org/spreadsheetml/2006/main" count="241" uniqueCount="158">
  <si>
    <t xml:space="preserve">Engineer</t>
  </si>
  <si>
    <t xml:space="preserve">Certification</t>
  </si>
  <si>
    <t xml:space="preserve">Cert Status</t>
  </si>
  <si>
    <t xml:space="preserve">Expires</t>
  </si>
  <si>
    <t xml:space="preserve">CE Credits Earned</t>
  </si>
  <si>
    <t xml:space="preserve">Exam / Path</t>
  </si>
  <si>
    <t xml:space="preserve">Voucher $</t>
  </si>
  <si>
    <t xml:space="preserve">Who's mentoring</t>
  </si>
  <si>
    <t xml:space="preserve">Notes</t>
  </si>
  <si>
    <t xml:space="preserve">Okonkwo, Mike</t>
  </si>
  <si>
    <t xml:space="preserve">CCIE Enterprise Infrastructure</t>
  </si>
  <si>
    <t xml:space="preserve">Active</t>
  </si>
  <si>
    <t xml:space="preserve">CE credits</t>
  </si>
  <si>
    <t xml:space="preserve">$1,600</t>
  </si>
  <si>
    <t xml:space="preserve">n/a</t>
  </si>
  <si>
    <t xml:space="preserve">needs 80 CE by expiry, at 40</t>
  </si>
  <si>
    <t xml:space="preserve">CCIE Ent Infra</t>
  </si>
  <si>
    <t xml:space="preserve">active - recert in progress</t>
  </si>
  <si>
    <t xml:space="preserve">Q1 FY28</t>
  </si>
  <si>
    <t xml:space="preserve">40 (need 80)</t>
  </si>
  <si>
    <t xml:space="preserve">350-401 ENCOR</t>
  </si>
  <si>
    <t xml:space="preserve">DUPLICATE? Meera said already recerted</t>
  </si>
  <si>
    <t xml:space="preserve">Meera: can't we just pull this from Workday + the cert system?</t>
  </si>
  <si>
    <t xml:space="preserve">chenwe4</t>
  </si>
  <si>
    <t xml:space="preserve">CCNP Enterprise</t>
  </si>
  <si>
    <t xml:space="preserve">Expiring</t>
  </si>
  <si>
    <t xml:space="preserve">45292</t>
  </si>
  <si>
    <t xml:space="preserve">ENCOR + ENARSI</t>
  </si>
  <si>
    <t xml:space="preserve">$800</t>
  </si>
  <si>
    <t xml:space="preserve">Mike O.</t>
  </si>
  <si>
    <t xml:space="preserve">voucher expires - check w/ enablement</t>
  </si>
  <si>
    <t xml:space="preserve">Wei-Lin Chen</t>
  </si>
  <si>
    <t xml:space="preserve">CCNP Ent</t>
  </si>
  <si>
    <t xml:space="preserve">expiring soon</t>
  </si>
  <si>
    <t xml:space="preserve">0</t>
  </si>
  <si>
    <t xml:space="preserve">ENCOR</t>
  </si>
  <si>
    <t xml:space="preserve">800.00</t>
  </si>
  <si>
    <t xml:space="preserve">Nakamura, Yuki</t>
  </si>
  <si>
    <t xml:space="preserve">DevNet Professional</t>
  </si>
  <si>
    <t xml:space="preserve">350-901 DEVCOR</t>
  </si>
  <si>
    <t xml:space="preserve">$400</t>
  </si>
  <si>
    <t xml:space="preserve">passed 2nd attempt</t>
  </si>
  <si>
    <t xml:space="preserve">Yuki N.</t>
  </si>
  <si>
    <t xml:space="preserve">Cisco Certified DevNet Professional</t>
  </si>
  <si>
    <t xml:space="preserve">active</t>
  </si>
  <si>
    <t xml:space="preserve">7/9/27</t>
  </si>
  <si>
    <t xml:space="preserve">80</t>
  </si>
  <si>
    <t xml:space="preserve">DEVCOR</t>
  </si>
  <si>
    <t xml:space="preserve">same as above, diff spelling</t>
  </si>
  <si>
    <t xml:space="preserve">Brennan, Katie</t>
  </si>
  <si>
    <t xml:space="preserve">CCIE Enterprise Wireless</t>
  </si>
  <si>
    <t xml:space="preserve">Not started</t>
  </si>
  <si>
    <t xml:space="preserve">end of FY</t>
  </si>
  <si>
    <t xml:space="preserve">?</t>
  </si>
  <si>
    <t xml:space="preserve">TBD</t>
  </si>
  <si>
    <t xml:space="preserve">Danny O.</t>
  </si>
  <si>
    <t xml:space="preserve">she may not want this</t>
  </si>
  <si>
    <t xml:space="preserve">Delgado, Jose</t>
  </si>
  <si>
    <t xml:space="preserve">Cisco Certified Specialist - Enterprise Core</t>
  </si>
  <si>
    <t xml:space="preserve">Active ✔</t>
  </si>
  <si>
    <t xml:space="preserve">Whitfield, Marcus</t>
  </si>
  <si>
    <t xml:space="preserve">Splunk Enterprise Certified Admin</t>
  </si>
  <si>
    <t xml:space="preserve">SPLK-1003</t>
  </si>
  <si>
    <t xml:space="preserve">$130</t>
  </si>
  <si>
    <t xml:space="preserve">legacy Splunk cert, not in Cisco cert system</t>
  </si>
  <si>
    <t xml:space="preserve">Petrov, Ivana</t>
  </si>
  <si>
    <t xml:space="preserve">CCNA</t>
  </si>
  <si>
    <t xml:space="preserve">Expired</t>
  </si>
  <si>
    <t xml:space="preserve">3/2/2026</t>
  </si>
  <si>
    <t xml:space="preserve">200-301</t>
  </si>
  <si>
    <t xml:space="preserve">~$300?</t>
  </si>
  <si>
    <t xml:space="preserve">Sana A.</t>
  </si>
  <si>
    <t xml:space="preserve">lapsed, Dana wants her recertified</t>
  </si>
  <si>
    <t xml:space="preserve">ahmeds2@cisco.com</t>
  </si>
  <si>
    <t xml:space="preserve">free</t>
  </si>
  <si>
    <t xml:space="preserve">using internal exam credits</t>
  </si>
  <si>
    <t xml:space="preserve">O'Leary, Danny</t>
  </si>
  <si>
    <t xml:space="preserve">10/16/2027</t>
  </si>
  <si>
    <t xml:space="preserve">emeritus track eligible 2028</t>
  </si>
  <si>
    <t xml:space="preserve">Ramachandran, Priya</t>
  </si>
  <si>
    <t xml:space="preserve">$300</t>
  </si>
  <si>
    <t xml:space="preserve">Jose D.</t>
  </si>
  <si>
    <t xml:space="preserve">Boateng, Kwame</t>
  </si>
  <si>
    <t xml:space="preserve">CCNP Security</t>
  </si>
  <si>
    <t xml:space="preserve">SCOR + SNCF</t>
  </si>
  <si>
    <t xml:space="preserve">recert due 2027</t>
  </si>
  <si>
    <t xml:space="preserve">Lindqvist, Erik</t>
  </si>
  <si>
    <t xml:space="preserve">HashiCorp Terraform Associate</t>
  </si>
  <si>
    <t xml:space="preserve">2027-11-12</t>
  </si>
  <si>
    <t xml:space="preserve">TF-003</t>
  </si>
  <si>
    <t xml:space="preserve">not a Cisco cert, renewal every 2 yrs!!</t>
  </si>
  <si>
    <t xml:space="preserve">Carter-Bloom, Jasmine</t>
  </si>
  <si>
    <t xml:space="preserve">DevNet Associate</t>
  </si>
  <si>
    <t xml:space="preserve">200-901 DEVASC</t>
  </si>
  <si>
    <t xml:space="preserve">budget not approved</t>
  </si>
  <si>
    <t xml:space="preserve">Maldonado, Rosa</t>
  </si>
  <si>
    <t xml:space="preserve">6/11/2025</t>
  </si>
  <si>
    <t xml:space="preserve">TERMED 5/26 - remove from list</t>
  </si>
  <si>
    <t xml:space="preserve">Vo, Alex</t>
  </si>
  <si>
    <t xml:space="preserve">CKA (Kubernetes Administrator)</t>
  </si>
  <si>
    <t xml:space="preserve">CKA</t>
  </si>
  <si>
    <t xml:space="preserve">$395</t>
  </si>
  <si>
    <t xml:space="preserve">Marcus W.</t>
  </si>
  <si>
    <t xml:space="preserve">date got typed into status col</t>
  </si>
  <si>
    <t xml:space="preserve">Fitzgerald, Pat</t>
  </si>
  <si>
    <t xml:space="preserve">consultant, brings own certs</t>
  </si>
  <si>
    <t xml:space="preserve">Kim, SJ</t>
  </si>
  <si>
    <t xml:space="preserve">Splunk Core Certified Power User</t>
  </si>
  <si>
    <t xml:space="preserve">SPLK-1001</t>
  </si>
  <si>
    <t xml:space="preserve">Baptiste, MC</t>
  </si>
  <si>
    <t xml:space="preserve">CCNP Collaboration</t>
  </si>
  <si>
    <t xml:space="preserve">8/25/2028</t>
  </si>
  <si>
    <t xml:space="preserve">CLCOR</t>
  </si>
  <si>
    <t xml:space="preserve">on leave since 3/26</t>
  </si>
  <si>
    <t xml:space="preserve">Hargrove, Tyler</t>
  </si>
  <si>
    <t xml:space="preserve">Not Started</t>
  </si>
  <si>
    <t xml:space="preserve">Katie B.</t>
  </si>
  <si>
    <t xml:space="preserve">intern - is this even eligible?</t>
  </si>
  <si>
    <t xml:space="preserve">Dubois, Amelie</t>
  </si>
  <si>
    <t xml:space="preserve">DEVASC</t>
  </si>
  <si>
    <t xml:space="preserve">partner SE (NW Systems)</t>
  </si>
  <si>
    <t xml:space="preserve">5/20/2026</t>
  </si>
  <si>
    <t xml:space="preserve">partner, not an employee</t>
  </si>
  <si>
    <t xml:space="preserve">Jen M. (temp)</t>
  </si>
  <si>
    <t xml:space="preserve">In progress</t>
  </si>
  <si>
    <t xml:space="preserve">who pays for this? her home org?</t>
  </si>
  <si>
    <t xml:space="preserve">TOTAL VOUCHER BUDGET</t>
  </si>
  <si>
    <t xml:space="preserve">(doesn't look right - ask Finance)</t>
  </si>
  <si>
    <t xml:space="preserve">DRAFT - do not circulate outside Partner Enablement</t>
  </si>
  <si>
    <t xml:space="preserve">Approved cert list (FY27) - names don't match tracker tab, sorry</t>
  </si>
  <si>
    <t xml:space="preserve">Cisco</t>
  </si>
  <si>
    <t xml:space="preserve">CCNP Enterprise (ENCOR + concentration)</t>
  </si>
  <si>
    <t xml:space="preserve">CCIE Enterprise Infrastructure (lab)</t>
  </si>
  <si>
    <t xml:space="preserve">Cisco Certified DevNet Associate</t>
  </si>
  <si>
    <t xml:space="preserve">Splunk</t>
  </si>
  <si>
    <t xml:space="preserve">Certified Kubernetes Administrator</t>
  </si>
  <si>
    <t xml:space="preserve">CNCF</t>
  </si>
  <si>
    <t xml:space="preserve">Terraform Associate</t>
  </si>
  <si>
    <t xml:space="preserve">HashiCorp</t>
  </si>
  <si>
    <t xml:space="preserve">$70.50</t>
  </si>
  <si>
    <t xml:space="preserve">pivot source from FY25 tracker - leaving in case Finance asks</t>
  </si>
  <si>
    <t xml:space="preserve">Name</t>
  </si>
  <si>
    <t xml:space="preserve">Cert</t>
  </si>
  <si>
    <t xml:space="preserve">FY25 spend</t>
  </si>
  <si>
    <t xml:space="preserve">Okonkwo</t>
  </si>
  <si>
    <t xml:space="preserve">CCIE</t>
  </si>
  <si>
    <t xml:space="preserve">Lindqvist</t>
  </si>
  <si>
    <t xml:space="preserve">Terraform</t>
  </si>
  <si>
    <t xml:space="preserve">Maldonado</t>
  </si>
  <si>
    <t xml:space="preserve">CCNP</t>
  </si>
  <si>
    <t xml:space="preserve">Nakamura</t>
  </si>
  <si>
    <t xml:space="preserve">DevNet Pro</t>
  </si>
  <si>
    <t xml:space="preserve">Notes / open questions:</t>
  </si>
  <si>
    <t xml:space="preserve">- Meera's team keeps its own skills matrix, need to reconcile before FY27 planning</t>
  </si>
  <si>
    <t xml:space="preserve">- do we count Splunk and CNCF certs toward the cert attainment metric? Finance says no, Joost says yes</t>
  </si>
  <si>
    <t xml:space="preserve">- Workday skill profiles are not being kept current by most of the team</t>
  </si>
  <si>
    <t xml:space="preserve">- CE credit totals here are typed in by hand, actual source is the cert tracking system</t>
  </si>
  <si>
    <t xml:space="preserve">- someone needs to own this sheet. not me. -PR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</si>
</sst>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\$#,##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i val="true"/>
      <sz val="9"/>
      <name val="Arial"/>
      <family val="0"/>
      <charset val="1"/>
    </font>
    <font>
      <i val="true"/>
      <sz val="9"/>
      <color rgb="FFFF0000"/>
      <name val="Arial"/>
      <family val="0"/>
      <charset val="1"/>
    </font>
    <font>
      <b val="true"/>
      <sz val="9"/>
      <color rgb="FFFF000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color rgb="FF80808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EB9C"/>
        <bgColor rgb="FFFFFFCC"/>
      </patternFill>
    </fill>
    <fill>
      <patternFill patternType="solid">
        <fgColor rgb="FFC6EFCE"/>
        <bgColor rgb="FFCCFFFF"/>
      </patternFill>
    </fill>
    <fill>
      <patternFill patternType="solid">
        <fgColor rgb="FFFFC7CE"/>
        <bgColor rgb="FFFFEB9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FFEB9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48"/>
    <col collapsed="false" customWidth="true" hidden="false" outlineLevel="0" max="3" min="3" style="0" width="29"/>
    <col collapsed="false" customWidth="true" hidden="false" outlineLevel="0" max="4" min="4" style="0" width="21"/>
    <col collapsed="false" customWidth="true" hidden="false" outlineLevel="0" max="5" min="5" style="0" width="19"/>
    <col collapsed="false" customWidth="true" hidden="false" outlineLevel="0" max="6" min="6" style="0" width="16"/>
    <col collapsed="false" customWidth="true" hidden="false" outlineLevel="0" max="7" min="7" style="0" width="36"/>
    <col collapsed="false" customWidth="true" hidden="false" outlineLevel="0" max="8" min="8" style="0" width="17"/>
    <col collapsed="false" customWidth="true" hidden="false" outlineLevel="0" max="9" min="9" style="0" width="46"/>
    <col collapsed="false" customWidth="true" hidden="false" outlineLevel="0" max="11" min="11" style="0" width="4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s">
        <v>9</v>
      </c>
      <c r="B2" s="2" t="s">
        <v>10</v>
      </c>
      <c r="C2" s="3" t="s">
        <v>11</v>
      </c>
      <c r="D2" s="4" t="n">
        <v>46460</v>
      </c>
      <c r="E2" s="2" t="n">
        <v>40</v>
      </c>
      <c r="F2" s="2" t="s">
        <v>12</v>
      </c>
      <c r="G2" s="2" t="s">
        <v>13</v>
      </c>
      <c r="H2" s="2" t="s">
        <v>14</v>
      </c>
      <c r="I2" s="2" t="s">
        <v>15</v>
      </c>
    </row>
    <row r="3" customFormat="false" ht="15" hidden="false" customHeight="false" outlineLevel="0" collapsed="false">
      <c r="A3" s="2" t="s">
        <v>9</v>
      </c>
      <c r="B3" s="2" t="s">
        <v>16</v>
      </c>
      <c r="C3" s="3" t="s">
        <v>17</v>
      </c>
      <c r="D3" s="2" t="s">
        <v>18</v>
      </c>
      <c r="E3" s="2" t="s">
        <v>19</v>
      </c>
      <c r="F3" s="2" t="s">
        <v>20</v>
      </c>
      <c r="G3" s="2" t="n">
        <v>1600</v>
      </c>
      <c r="H3" s="2"/>
      <c r="I3" s="2" t="s">
        <v>21</v>
      </c>
      <c r="K3" s="5" t="s">
        <v>22</v>
      </c>
    </row>
    <row r="4" customFormat="false" ht="15" hidden="false" customHeight="false" outlineLevel="0" collapsed="false">
      <c r="A4" s="2" t="s">
        <v>23</v>
      </c>
      <c r="B4" s="2" t="s">
        <v>24</v>
      </c>
      <c r="C4" s="6" t="s">
        <v>25</v>
      </c>
      <c r="D4" s="2" t="s">
        <v>26</v>
      </c>
      <c r="E4" s="2" t="n">
        <v>0</v>
      </c>
      <c r="F4" s="2" t="s">
        <v>27</v>
      </c>
      <c r="G4" s="2" t="s">
        <v>28</v>
      </c>
      <c r="H4" s="2" t="s">
        <v>29</v>
      </c>
      <c r="I4" s="2" t="s">
        <v>30</v>
      </c>
    </row>
    <row r="5" customFormat="false" ht="15" hidden="false" customHeight="false" outlineLevel="0" collapsed="false">
      <c r="A5" s="2" t="s">
        <v>31</v>
      </c>
      <c r="B5" s="2" t="s">
        <v>32</v>
      </c>
      <c r="C5" s="6" t="s">
        <v>33</v>
      </c>
      <c r="D5" s="4" t="n">
        <v>46310</v>
      </c>
      <c r="E5" s="2" t="s">
        <v>34</v>
      </c>
      <c r="F5" s="2" t="s">
        <v>35</v>
      </c>
      <c r="G5" s="2" t="s">
        <v>36</v>
      </c>
      <c r="H5" s="2"/>
      <c r="I5" s="2"/>
    </row>
    <row r="6" customFormat="false" ht="15" hidden="false" customHeight="false" outlineLevel="0" collapsed="false">
      <c r="A6" s="2" t="s">
        <v>37</v>
      </c>
      <c r="B6" s="2" t="s">
        <v>38</v>
      </c>
      <c r="C6" s="3" t="s">
        <v>11</v>
      </c>
      <c r="D6" s="4" t="n">
        <v>46577</v>
      </c>
      <c r="E6" s="2" t="n">
        <v>80</v>
      </c>
      <c r="F6" s="2" t="s">
        <v>39</v>
      </c>
      <c r="G6" s="2" t="s">
        <v>40</v>
      </c>
      <c r="H6" s="2" t="s">
        <v>14</v>
      </c>
      <c r="I6" s="2" t="s">
        <v>41</v>
      </c>
    </row>
    <row r="7" customFormat="false" ht="15" hidden="false" customHeight="false" outlineLevel="0" collapsed="false">
      <c r="A7" s="2" t="s">
        <v>42</v>
      </c>
      <c r="B7" s="2" t="s">
        <v>43</v>
      </c>
      <c r="C7" s="3" t="s">
        <v>44</v>
      </c>
      <c r="D7" s="2" t="s">
        <v>45</v>
      </c>
      <c r="E7" s="2" t="s">
        <v>46</v>
      </c>
      <c r="F7" s="2" t="s">
        <v>47</v>
      </c>
      <c r="G7" s="2" t="n">
        <v>400</v>
      </c>
      <c r="H7" s="2"/>
      <c r="I7" s="2" t="s">
        <v>48</v>
      </c>
    </row>
    <row r="8" customFormat="false" ht="15" hidden="false" customHeight="false" outlineLevel="0" collapsed="false">
      <c r="A8" s="2" t="s">
        <v>49</v>
      </c>
      <c r="B8" s="2" t="s">
        <v>50</v>
      </c>
      <c r="C8" s="7" t="s">
        <v>51</v>
      </c>
      <c r="D8" s="2" t="s">
        <v>52</v>
      </c>
      <c r="E8" s="2" t="s">
        <v>14</v>
      </c>
      <c r="F8" s="2" t="s">
        <v>53</v>
      </c>
      <c r="G8" s="2" t="s">
        <v>54</v>
      </c>
      <c r="H8" s="2" t="s">
        <v>55</v>
      </c>
      <c r="I8" s="2" t="s">
        <v>56</v>
      </c>
    </row>
    <row r="9" customFormat="false" ht="15" hidden="false" customHeight="false" outlineLevel="0" collapsed="false">
      <c r="A9" s="2" t="s">
        <v>57</v>
      </c>
      <c r="B9" s="2" t="s">
        <v>58</v>
      </c>
      <c r="C9" s="3" t="s">
        <v>59</v>
      </c>
      <c r="D9" s="4" t="n">
        <v>47176</v>
      </c>
      <c r="E9" s="2" t="n">
        <v>0</v>
      </c>
      <c r="F9" s="2" t="s">
        <v>20</v>
      </c>
      <c r="G9" s="2" t="s">
        <v>40</v>
      </c>
      <c r="H9" s="2" t="s">
        <v>14</v>
      </c>
      <c r="I9" s="2"/>
    </row>
    <row r="10" customFormat="false" ht="15" hidden="false" customHeight="false" outlineLevel="0" collapsed="false">
      <c r="A10" s="2" t="s">
        <v>60</v>
      </c>
      <c r="B10" s="2" t="s">
        <v>61</v>
      </c>
      <c r="C10" s="3" t="s">
        <v>11</v>
      </c>
      <c r="D10" s="4" t="n">
        <v>47238</v>
      </c>
      <c r="E10" s="2" t="s">
        <v>14</v>
      </c>
      <c r="F10" s="2" t="s">
        <v>62</v>
      </c>
      <c r="G10" s="2" t="s">
        <v>63</v>
      </c>
      <c r="H10" s="2"/>
      <c r="I10" s="2" t="s">
        <v>64</v>
      </c>
    </row>
    <row r="11" customFormat="false" ht="15" hidden="false" customHeight="false" outlineLevel="0" collapsed="false">
      <c r="A11" s="2" t="s">
        <v>65</v>
      </c>
      <c r="B11" s="2" t="s">
        <v>66</v>
      </c>
      <c r="C11" s="7" t="s">
        <v>67</v>
      </c>
      <c r="D11" s="2" t="s">
        <v>68</v>
      </c>
      <c r="E11" s="2" t="n">
        <v>0</v>
      </c>
      <c r="F11" s="2" t="s">
        <v>69</v>
      </c>
      <c r="G11" s="2" t="s">
        <v>70</v>
      </c>
      <c r="H11" s="2" t="s">
        <v>71</v>
      </c>
      <c r="I11" s="2" t="s">
        <v>72</v>
      </c>
    </row>
    <row r="12" customFormat="false" ht="15" hidden="false" customHeight="false" outlineLevel="0" collapsed="false">
      <c r="A12" s="2" t="s">
        <v>73</v>
      </c>
      <c r="B12" s="2" t="s">
        <v>24</v>
      </c>
      <c r="C12" s="7" t="s">
        <v>53</v>
      </c>
      <c r="D12" s="2"/>
      <c r="E12" s="2"/>
      <c r="F12" s="2" t="s">
        <v>35</v>
      </c>
      <c r="G12" s="2" t="s">
        <v>74</v>
      </c>
      <c r="H12" s="2"/>
      <c r="I12" s="2" t="s">
        <v>75</v>
      </c>
    </row>
    <row r="13" customFormat="false" ht="15" hidden="true" customHeight="false" outlineLevel="0" collapsed="false">
      <c r="A13" s="2" t="s">
        <v>76</v>
      </c>
      <c r="B13" s="2" t="s">
        <v>10</v>
      </c>
      <c r="C13" s="3" t="s">
        <v>11</v>
      </c>
      <c r="D13" s="2" t="s">
        <v>77</v>
      </c>
      <c r="E13" s="2" t="n">
        <v>120</v>
      </c>
      <c r="F13" s="2" t="s">
        <v>12</v>
      </c>
      <c r="G13" s="2" t="s">
        <v>34</v>
      </c>
      <c r="H13" s="2"/>
      <c r="I13" s="2" t="s">
        <v>78</v>
      </c>
    </row>
    <row r="14" customFormat="false" ht="15" hidden="false" customHeight="false" outlineLevel="0" collapsed="false">
      <c r="A14" s="2" t="s">
        <v>79</v>
      </c>
      <c r="B14" s="2" t="s">
        <v>66</v>
      </c>
      <c r="C14" s="3" t="s">
        <v>11</v>
      </c>
      <c r="D14" s="4" t="n">
        <v>46692</v>
      </c>
      <c r="E14" s="2" t="n">
        <v>30</v>
      </c>
      <c r="F14" s="2" t="s">
        <v>69</v>
      </c>
      <c r="G14" s="2" t="s">
        <v>80</v>
      </c>
      <c r="H14" s="2" t="s">
        <v>81</v>
      </c>
      <c r="I14" s="2"/>
    </row>
    <row r="15" customFormat="false" ht="15" hidden="false" customHeight="false" outlineLevel="0" collapsed="false">
      <c r="A15" s="2" t="s">
        <v>82</v>
      </c>
      <c r="B15" s="2" t="s">
        <v>83</v>
      </c>
      <c r="C15" s="3" t="s">
        <v>11</v>
      </c>
      <c r="D15" s="4" t="n">
        <v>46540</v>
      </c>
      <c r="E15" s="2" t="s">
        <v>46</v>
      </c>
      <c r="F15" s="2" t="s">
        <v>84</v>
      </c>
      <c r="G15" s="2" t="s">
        <v>28</v>
      </c>
      <c r="H15" s="2"/>
      <c r="I15" s="2" t="s">
        <v>85</v>
      </c>
    </row>
    <row r="16" customFormat="false" ht="15" hidden="false" customHeight="false" outlineLevel="0" collapsed="false">
      <c r="A16" s="2" t="s">
        <v>86</v>
      </c>
      <c r="B16" s="2" t="s">
        <v>87</v>
      </c>
      <c r="C16" s="3" t="s">
        <v>11</v>
      </c>
      <c r="D16" s="2" t="s">
        <v>88</v>
      </c>
      <c r="E16" s="2" t="s">
        <v>14</v>
      </c>
      <c r="F16" s="2" t="s">
        <v>89</v>
      </c>
      <c r="G16" s="2" t="n">
        <v>71</v>
      </c>
      <c r="H16" s="2"/>
      <c r="I16" s="2" t="s">
        <v>90</v>
      </c>
    </row>
    <row r="17" customFormat="false" ht="15" hidden="false" customHeight="false" outlineLevel="0" collapsed="false">
      <c r="A17" s="2" t="s">
        <v>91</v>
      </c>
      <c r="B17" s="2" t="s">
        <v>92</v>
      </c>
      <c r="C17" s="7" t="s">
        <v>51</v>
      </c>
      <c r="D17" s="2" t="s">
        <v>54</v>
      </c>
      <c r="E17" s="2" t="n">
        <v>0</v>
      </c>
      <c r="F17" s="2" t="s">
        <v>93</v>
      </c>
      <c r="G17" s="2" t="s">
        <v>80</v>
      </c>
      <c r="H17" s="2" t="s">
        <v>42</v>
      </c>
      <c r="I17" s="2" t="s">
        <v>94</v>
      </c>
    </row>
    <row r="18" customFormat="false" ht="15" hidden="false" customHeight="false" outlineLevel="0" collapsed="false">
      <c r="A18" s="2" t="s">
        <v>95</v>
      </c>
      <c r="B18" s="2" t="s">
        <v>24</v>
      </c>
      <c r="C18" s="7" t="s">
        <v>67</v>
      </c>
      <c r="D18" s="2" t="s">
        <v>96</v>
      </c>
      <c r="E18" s="2" t="n">
        <v>0</v>
      </c>
      <c r="F18" s="2" t="s">
        <v>35</v>
      </c>
      <c r="G18" s="2" t="n">
        <v>0</v>
      </c>
      <c r="H18" s="2"/>
      <c r="I18" s="2" t="s">
        <v>97</v>
      </c>
    </row>
    <row r="19" customFormat="false" ht="15" hidden="false" customHeight="false" outlineLevel="0" collapsed="false">
      <c r="A19" s="2" t="s">
        <v>98</v>
      </c>
      <c r="B19" s="2" t="s">
        <v>99</v>
      </c>
      <c r="C19" s="4" t="n">
        <v>46518</v>
      </c>
      <c r="D19" s="2" t="s">
        <v>11</v>
      </c>
      <c r="E19" s="2" t="s">
        <v>14</v>
      </c>
      <c r="F19" s="2" t="s">
        <v>100</v>
      </c>
      <c r="G19" s="2" t="s">
        <v>101</v>
      </c>
      <c r="H19" s="2" t="s">
        <v>102</v>
      </c>
      <c r="I19" s="2" t="s">
        <v>103</v>
      </c>
    </row>
    <row r="20" customFormat="false" ht="15" hidden="false" customHeight="false" outlineLevel="0" collapsed="false">
      <c r="A20" s="2" t="s">
        <v>104</v>
      </c>
      <c r="B20" s="2" t="s">
        <v>10</v>
      </c>
      <c r="C20" s="3" t="s">
        <v>11</v>
      </c>
      <c r="D20" s="2"/>
      <c r="E20" s="2" t="s">
        <v>53</v>
      </c>
      <c r="F20" s="2" t="s">
        <v>14</v>
      </c>
      <c r="G20" s="2" t="s">
        <v>34</v>
      </c>
      <c r="H20" s="2"/>
      <c r="I20" s="2" t="s">
        <v>105</v>
      </c>
    </row>
    <row r="21" customFormat="false" ht="15" hidden="false" customHeight="false" outlineLevel="0" collapsed="false">
      <c r="A21" s="2" t="s">
        <v>106</v>
      </c>
      <c r="B21" s="2" t="s">
        <v>107</v>
      </c>
      <c r="C21" s="3" t="s">
        <v>11</v>
      </c>
      <c r="D21" s="4" t="n">
        <v>47188</v>
      </c>
      <c r="E21" s="2" t="s">
        <v>14</v>
      </c>
      <c r="F21" s="2" t="s">
        <v>108</v>
      </c>
      <c r="G21" s="2" t="s">
        <v>63</v>
      </c>
      <c r="H21" s="2" t="s">
        <v>102</v>
      </c>
      <c r="I21" s="2"/>
    </row>
    <row r="22" customFormat="false" ht="15" hidden="false" customHeight="false" outlineLevel="0" collapsed="false">
      <c r="A22" s="2" t="s">
        <v>109</v>
      </c>
      <c r="B22" s="2" t="s">
        <v>110</v>
      </c>
      <c r="C22" s="3" t="s">
        <v>11</v>
      </c>
      <c r="D22" s="2" t="s">
        <v>111</v>
      </c>
      <c r="E22" s="2" t="s">
        <v>46</v>
      </c>
      <c r="F22" s="2" t="s">
        <v>112</v>
      </c>
      <c r="G22" s="2" t="s">
        <v>74</v>
      </c>
      <c r="H22" s="2"/>
      <c r="I22" s="2" t="s">
        <v>113</v>
      </c>
    </row>
    <row r="23" customFormat="false" ht="15" hidden="false" customHeight="false" outlineLevel="0" collapsed="false">
      <c r="A23" s="2" t="s">
        <v>114</v>
      </c>
      <c r="B23" s="2" t="s">
        <v>66</v>
      </c>
      <c r="C23" s="7" t="s">
        <v>115</v>
      </c>
      <c r="D23" s="2" t="s">
        <v>53</v>
      </c>
      <c r="E23" s="2" t="n">
        <v>0</v>
      </c>
      <c r="F23" s="2" t="s">
        <v>69</v>
      </c>
      <c r="G23" s="2" t="s">
        <v>80</v>
      </c>
      <c r="H23" s="2" t="s">
        <v>116</v>
      </c>
      <c r="I23" s="2" t="s">
        <v>117</v>
      </c>
    </row>
    <row r="24" customFormat="false" ht="15" hidden="false" customHeight="false" outlineLevel="0" collapsed="false">
      <c r="A24" s="2" t="s">
        <v>118</v>
      </c>
      <c r="B24" s="2" t="s">
        <v>92</v>
      </c>
      <c r="C24" s="3" t="s">
        <v>11</v>
      </c>
      <c r="D24" s="4" t="n">
        <v>47223</v>
      </c>
      <c r="E24" s="2" t="n">
        <v>0</v>
      </c>
      <c r="F24" s="2" t="s">
        <v>119</v>
      </c>
      <c r="G24" s="2" t="s">
        <v>80</v>
      </c>
      <c r="H24" s="2"/>
      <c r="I24" s="2"/>
    </row>
    <row r="25" customFormat="false" ht="15" hidden="false" customHeight="false" outlineLevel="0" collapsed="false">
      <c r="A25" s="2" t="s">
        <v>120</v>
      </c>
      <c r="B25" s="2" t="s">
        <v>24</v>
      </c>
      <c r="C25" s="3" t="s">
        <v>11</v>
      </c>
      <c r="D25" s="2" t="s">
        <v>121</v>
      </c>
      <c r="E25" s="2" t="s">
        <v>46</v>
      </c>
      <c r="F25" s="2" t="s">
        <v>35</v>
      </c>
      <c r="G25" s="2" t="s">
        <v>34</v>
      </c>
      <c r="H25" s="2"/>
      <c r="I25" s="2" t="s">
        <v>122</v>
      </c>
    </row>
    <row r="26" customFormat="false" ht="15" hidden="false" customHeight="false" outlineLevel="0" collapsed="false">
      <c r="A26" s="2" t="s">
        <v>123</v>
      </c>
      <c r="B26" s="2" t="s">
        <v>66</v>
      </c>
      <c r="C26" s="6" t="s">
        <v>124</v>
      </c>
      <c r="D26" s="2"/>
      <c r="E26" s="2" t="n">
        <v>0</v>
      </c>
      <c r="F26" s="2" t="s">
        <v>69</v>
      </c>
      <c r="G26" s="2" t="s">
        <v>80</v>
      </c>
      <c r="H26" s="2"/>
      <c r="I26" s="2" t="s">
        <v>125</v>
      </c>
    </row>
    <row r="28" customFormat="false" ht="15" hidden="false" customHeight="false" outlineLevel="0" collapsed="false">
      <c r="A28" s="8" t="s">
        <v>126</v>
      </c>
      <c r="G28" s="9" t="n">
        <f aca="false">SUM(G2:G26)</f>
        <v>2071</v>
      </c>
    </row>
    <row r="29" customFormat="false" ht="15" hidden="false" customHeight="false" outlineLevel="0" collapsed="false">
      <c r="G29" s="10" t="s">
        <v>127</v>
      </c>
    </row>
    <row r="31" customFormat="false" ht="15" hidden="false" customHeight="false" outlineLevel="0" collapsed="false">
      <c r="B31" s="11" t="s">
        <v>128</v>
      </c>
    </row>
  </sheetData>
  <autoFilter ref="A1:I2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</cols>
  <sheetData>
    <row r="1" customFormat="false" ht="15" hidden="false" customHeight="false" outlineLevel="0" collapsed="false">
      <c r="A1" s="12" t="s">
        <v>129</v>
      </c>
    </row>
    <row r="3" customFormat="false" ht="15" hidden="false" customHeight="false" outlineLevel="0" collapsed="false">
      <c r="A3" s="2" t="s">
        <v>66</v>
      </c>
      <c r="B3" s="2" t="s">
        <v>130</v>
      </c>
      <c r="C3" s="2" t="s">
        <v>80</v>
      </c>
    </row>
    <row r="4" customFormat="false" ht="15" hidden="false" customHeight="false" outlineLevel="0" collapsed="false">
      <c r="A4" s="2" t="s">
        <v>131</v>
      </c>
      <c r="B4" s="2" t="s">
        <v>130</v>
      </c>
      <c r="C4" s="2" t="s">
        <v>28</v>
      </c>
    </row>
    <row r="5" customFormat="false" ht="15" hidden="false" customHeight="false" outlineLevel="0" collapsed="false">
      <c r="A5" s="2" t="s">
        <v>83</v>
      </c>
      <c r="B5" s="2" t="s">
        <v>130</v>
      </c>
      <c r="C5" s="2" t="s">
        <v>28</v>
      </c>
    </row>
    <row r="6" customFormat="false" ht="15" hidden="false" customHeight="false" outlineLevel="0" collapsed="false">
      <c r="A6" s="2" t="s">
        <v>110</v>
      </c>
      <c r="B6" s="2" t="s">
        <v>130</v>
      </c>
      <c r="C6" s="2" t="s">
        <v>28</v>
      </c>
    </row>
    <row r="7" customFormat="false" ht="15" hidden="false" customHeight="false" outlineLevel="0" collapsed="false">
      <c r="A7" s="2" t="s">
        <v>132</v>
      </c>
      <c r="B7" s="2" t="s">
        <v>130</v>
      </c>
      <c r="C7" s="2" t="s">
        <v>13</v>
      </c>
    </row>
    <row r="8" customFormat="false" ht="15" hidden="false" customHeight="false" outlineLevel="0" collapsed="false">
      <c r="A8" s="2" t="s">
        <v>133</v>
      </c>
      <c r="B8" s="2" t="s">
        <v>130</v>
      </c>
      <c r="C8" s="2" t="s">
        <v>80</v>
      </c>
    </row>
    <row r="9" customFormat="false" ht="15" hidden="false" customHeight="false" outlineLevel="0" collapsed="false">
      <c r="A9" s="2" t="s">
        <v>43</v>
      </c>
      <c r="B9" s="2" t="s">
        <v>130</v>
      </c>
      <c r="C9" s="2" t="s">
        <v>40</v>
      </c>
    </row>
    <row r="10" customFormat="false" ht="15" hidden="false" customHeight="false" outlineLevel="0" collapsed="false">
      <c r="A10" s="2" t="s">
        <v>107</v>
      </c>
      <c r="B10" s="2" t="s">
        <v>134</v>
      </c>
      <c r="C10" s="2" t="s">
        <v>63</v>
      </c>
    </row>
    <row r="11" customFormat="false" ht="15" hidden="false" customHeight="false" outlineLevel="0" collapsed="false">
      <c r="A11" s="2" t="s">
        <v>61</v>
      </c>
      <c r="B11" s="2" t="s">
        <v>134</v>
      </c>
      <c r="C11" s="2" t="s">
        <v>63</v>
      </c>
    </row>
    <row r="12" customFormat="false" ht="15" hidden="false" customHeight="false" outlineLevel="0" collapsed="false">
      <c r="A12" s="2" t="s">
        <v>135</v>
      </c>
      <c r="B12" s="2" t="s">
        <v>136</v>
      </c>
      <c r="C12" s="2" t="s">
        <v>101</v>
      </c>
    </row>
    <row r="13" customFormat="false" ht="15" hidden="false" customHeight="false" outlineLevel="0" collapsed="false">
      <c r="A13" s="2" t="s">
        <v>137</v>
      </c>
      <c r="B13" s="2" t="s">
        <v>138</v>
      </c>
      <c r="C13" s="2" t="s">
        <v>139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3" t="s">
        <v>140</v>
      </c>
    </row>
    <row r="3" customFormat="false" ht="15" hidden="false" customHeight="false" outlineLevel="0" collapsed="false">
      <c r="A3" s="12" t="s">
        <v>141</v>
      </c>
      <c r="B3" s="12" t="s">
        <v>142</v>
      </c>
      <c r="C3" s="12" t="s">
        <v>143</v>
      </c>
    </row>
    <row r="4" customFormat="false" ht="15" hidden="false" customHeight="false" outlineLevel="0" collapsed="false">
      <c r="A4" s="2" t="s">
        <v>144</v>
      </c>
      <c r="B4" s="2" t="s">
        <v>145</v>
      </c>
      <c r="C4" s="2" t="n">
        <v>1600</v>
      </c>
    </row>
    <row r="5" customFormat="false" ht="15" hidden="false" customHeight="false" outlineLevel="0" collapsed="false">
      <c r="A5" s="2" t="s">
        <v>146</v>
      </c>
      <c r="B5" s="2" t="s">
        <v>147</v>
      </c>
      <c r="C5" s="2" t="n">
        <v>71</v>
      </c>
    </row>
    <row r="6" customFormat="false" ht="15" hidden="false" customHeight="false" outlineLevel="0" collapsed="false">
      <c r="A6" s="2" t="s">
        <v>148</v>
      </c>
      <c r="B6" s="2" t="s">
        <v>149</v>
      </c>
      <c r="C6" s="2" t="n">
        <v>0</v>
      </c>
    </row>
    <row r="7" customFormat="false" ht="15" hidden="false" customHeight="false" outlineLevel="0" collapsed="false">
      <c r="A7" s="2" t="s">
        <v>150</v>
      </c>
      <c r="B7" s="2" t="s">
        <v>151</v>
      </c>
      <c r="C7" s="2" t="n">
        <v>400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2"/>
  </cols>
  <sheetData>
    <row r="1" customFormat="false" ht="15" hidden="false" customHeight="false" outlineLevel="0" collapsed="false">
      <c r="A1" s="12" t="s">
        <v>152</v>
      </c>
    </row>
    <row r="2" customFormat="false" ht="15" hidden="false" customHeight="false" outlineLevel="0" collapsed="false">
      <c r="A2" s="2" t="s">
        <v>153</v>
      </c>
    </row>
    <row r="3" customFormat="false" ht="15" hidden="false" customHeight="false" outlineLevel="0" collapsed="false">
      <c r="A3" s="2" t="s">
        <v>154</v>
      </c>
    </row>
    <row r="4" customFormat="false" ht="15" hidden="false" customHeight="false" outlineLevel="0" collapsed="false">
      <c r="A4" s="2" t="s">
        <v>155</v>
      </c>
    </row>
    <row r="5" customFormat="false" ht="15" hidden="false" customHeight="false" outlineLevel="0" collapsed="false">
      <c r="A5" s="2" t="s">
        <v>156</v>
      </c>
    </row>
    <row r="6" customFormat="false" ht="15" hidden="false" customHeight="false" outlineLevel="0" collapsed="false">
      <c r="A6" s="2" t="s">
        <v>157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2026-09-17T21:49:13Z</dcterms:created>
  <dc:creator>openpyxl</dc:creator>
  <dc:description/>
  <dc:language>en-US</dc:language>
  <cp:lastModifiedBy/>
  <dcterms:modified xsi:type="dcterms:W3CDTF">2026-09-17T21:49:13Z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